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rlandohoilett/Documents/Hoilett-Lab/git/Firefly/V2/"/>
    </mc:Choice>
  </mc:AlternateContent>
  <xr:revisionPtr revIDLastSave="0" documentId="13_ncr:1_{B66559EE-6208-E247-9260-8BF49A9A230F}" xr6:coauthVersionLast="47" xr6:coauthVersionMax="47" xr10:uidLastSave="{00000000-0000-0000-0000-000000000000}"/>
  <bookViews>
    <workbookView xWindow="1720" yWindow="500" windowWidth="23820" windowHeight="143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" i="1" l="1"/>
  <c r="S12" i="1"/>
  <c r="T12" i="1" s="1"/>
  <c r="Q12" i="1"/>
  <c r="R12" i="1" s="1"/>
  <c r="O12" i="1"/>
  <c r="P12" i="1" s="1"/>
  <c r="L12" i="1"/>
  <c r="N12" i="1" s="1"/>
  <c r="S11" i="1"/>
  <c r="T11" i="1" s="1"/>
  <c r="Q11" i="1"/>
  <c r="R11" i="1" s="1"/>
  <c r="O11" i="1"/>
  <c r="P11" i="1" s="1"/>
  <c r="N11" i="1"/>
  <c r="L11" i="1"/>
  <c r="T10" i="1"/>
  <c r="R10" i="1"/>
  <c r="P10" i="1"/>
  <c r="N10" i="1"/>
  <c r="A10" i="1"/>
  <c r="A11" i="1" s="1"/>
  <c r="A12" i="1" s="1"/>
  <c r="S8" i="1"/>
  <c r="T8" i="1" s="1"/>
  <c r="Q8" i="1"/>
  <c r="R8" i="1" s="1"/>
  <c r="O8" i="1"/>
  <c r="P8" i="1" s="1"/>
  <c r="L8" i="1"/>
  <c r="N8" i="1" s="1"/>
  <c r="A8" i="1"/>
  <c r="N5" i="1"/>
  <c r="A3" i="1"/>
  <c r="A4" i="1" s="1"/>
  <c r="A5" i="1" s="1"/>
  <c r="A6" i="1" s="1"/>
  <c r="A7" i="1" s="1"/>
  <c r="N7" i="1" l="1"/>
  <c r="N3" i="1"/>
  <c r="N4" i="1"/>
  <c r="N6" i="1"/>
</calcChain>
</file>

<file path=xl/sharedStrings.xml><?xml version="1.0" encoding="utf-8"?>
<sst xmlns="http://schemas.openxmlformats.org/spreadsheetml/2006/main" count="100" uniqueCount="84">
  <si>
    <t>BOM #</t>
  </si>
  <si>
    <t>Comment</t>
  </si>
  <si>
    <t>Description</t>
  </si>
  <si>
    <t>Manufacturer</t>
  </si>
  <si>
    <t>Manufacturer Part Number</t>
  </si>
  <si>
    <t>Quantity</t>
  </si>
  <si>
    <t>Supplier</t>
  </si>
  <si>
    <t>Supplier Part Number</t>
  </si>
  <si>
    <t>Digi-Key</t>
  </si>
  <si>
    <t>Mounting Type</t>
  </si>
  <si>
    <t>Package</t>
  </si>
  <si>
    <t>Price Total</t>
  </si>
  <si>
    <t>Price per unit</t>
  </si>
  <si>
    <t>Total</t>
  </si>
  <si>
    <t>THT</t>
  </si>
  <si>
    <t>B0739RYXVC</t>
  </si>
  <si>
    <t>10k resistor</t>
  </si>
  <si>
    <t>Schottky Diode</t>
  </si>
  <si>
    <t>Diode Schottky 30V 1.5A Surface Mount USC</t>
  </si>
  <si>
    <t>SMD</t>
  </si>
  <si>
    <t>USC</t>
  </si>
  <si>
    <t>Toshiba Semiconductor and Storage</t>
  </si>
  <si>
    <t>CUS15S30,H3F</t>
  </si>
  <si>
    <t>CUS15S30H3FCT-ND</t>
  </si>
  <si>
    <t>Yageo</t>
  </si>
  <si>
    <t>2.2uF capacitor</t>
  </si>
  <si>
    <t>16V, X5R</t>
  </si>
  <si>
    <t>0603</t>
  </si>
  <si>
    <t>Murata Electronics North America</t>
  </si>
  <si>
    <t>GRM188R61C225KE15D</t>
  </si>
  <si>
    <t>490-3296-1-ND</t>
  </si>
  <si>
    <t>Designator</t>
  </si>
  <si>
    <t>#FunTimesWithTheTA - Firefly Rev A</t>
  </si>
  <si>
    <t>10 kOhms ±1% 0.1W, 1/10W Chip Resistor 0603 (1608 Metric) Moisture Resistant Thick Film</t>
  </si>
  <si>
    <t>RC0603FR-0710KL</t>
  </si>
  <si>
    <t>311-10.0KHRCT-ND</t>
  </si>
  <si>
    <t>Stackpole Electronics Inc.</t>
  </si>
  <si>
    <t>100 Ohms ±1% 0.1W, 1/10W Chip Resistor 0603 (1608 Metric) Automotive AEC-Q200 Thick Film</t>
  </si>
  <si>
    <t>RMCF0603FG100R</t>
  </si>
  <si>
    <t>RMCF0603FG100RCT-ND</t>
  </si>
  <si>
    <t>150 kOhms ±1% 0.1W, 1/10W Chip Resistor 0603 (1608 Metric) Automotive AEC-Q200 Thick Film</t>
  </si>
  <si>
    <t>RMCF0603FT150K</t>
  </si>
  <si>
    <t>RMCF0603FT150KCT-ND</t>
  </si>
  <si>
    <t>150k resistor</t>
  </si>
  <si>
    <t>100Ohm resistor</t>
  </si>
  <si>
    <t>C1, C2</t>
  </si>
  <si>
    <t>R6</t>
  </si>
  <si>
    <t>R5</t>
  </si>
  <si>
    <t>R1,R2,R3,R4</t>
  </si>
  <si>
    <t>D1,D2</t>
  </si>
  <si>
    <t>CLASS SET</t>
  </si>
  <si>
    <t>LED (user selectable color)</t>
  </si>
  <si>
    <t>POWER</t>
  </si>
  <si>
    <t>ELEGOO 3mm and 5mm Diffused and Clear Assorted LED Kit 5 Colors Pack of 600 Compatible with Arduino</t>
  </si>
  <si>
    <t>Radial</t>
  </si>
  <si>
    <t>ELEGOO</t>
  </si>
  <si>
    <t>US-EL-CP-009</t>
  </si>
  <si>
    <t>ELEGOO on Amazon</t>
  </si>
  <si>
    <t>https://www.amazon.com/ELEGOO-Diffused-Assorted-Colors-Arduino/dp/B0739RYXVC/</t>
  </si>
  <si>
    <t>Photoresistor</t>
  </si>
  <si>
    <t>Photo</t>
  </si>
  <si>
    <t>CDS Cell 520nm 27 ~ 60kOhms @ 10 lux</t>
  </si>
  <si>
    <t>Advanced Photonix</t>
  </si>
  <si>
    <t>PDV-P8104</t>
  </si>
  <si>
    <t>Mouser</t>
  </si>
  <si>
    <t>846-PDV-P8104</t>
  </si>
  <si>
    <t>https://www.mouser.com/ProductDetail/Advanced-Photonix/PDV-P8104?qs=tlsG%2FOw5FFhNlJFnM8WslQ%3D%3D</t>
  </si>
  <si>
    <t>9 V battery</t>
  </si>
  <si>
    <t>PKCELL 9V Dry Battery (100 Count)– Ultra Long-Lasting 9 Volt Carbon Zinc Battery, 3-Year Shelf Life, Leak-Proof 9V Battery for Smoke Detectors</t>
  </si>
  <si>
    <t>NA</t>
  </si>
  <si>
    <t>PKCELL</t>
  </si>
  <si>
    <t>6F22</t>
  </si>
  <si>
    <t>PKCELL on Amazon</t>
  </si>
  <si>
    <t>B07FX6F192</t>
  </si>
  <si>
    <t>https://www.amazon.com/PKCELL-Battery-Long-Lasting-Leak-Proof-Detectors/dp/B07FX6F192/</t>
  </si>
  <si>
    <t>9V Battery Connector</t>
  </si>
  <si>
    <t>9V</t>
  </si>
  <si>
    <t>9 Volt Battery Connectors,100 PCS T-Type 9 Volt Battery Buckle Connector Hard Buckle Plastic Shell(T-Type, 100 PCS)</t>
  </si>
  <si>
    <t>Wire Leads</t>
  </si>
  <si>
    <t>WEICHUANGJING</t>
  </si>
  <si>
    <t xml:space="preserve">WCJ-9D-T-P15 </t>
  </si>
  <si>
    <t>WEICHUANGJING on Amazon</t>
  </si>
  <si>
    <t>B097H2WLZT</t>
  </si>
  <si>
    <t>https://www.amazon.com/gp/product/B097H2WLZT/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</si>
</sst>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2" x14ac:knownFonts="1"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Segoe UI"/>
    </font>
    <font>
      <sz val="8"/>
      <color rgb="FF000000"/>
      <name val="Segoe UI"/>
    </font>
    <font>
      <b/>
      <sz val="8"/>
      <color theme="1"/>
      <name val="Segoe UI"/>
    </font>
    <font>
      <b/>
      <sz val="10"/>
      <color theme="1"/>
      <name val="Segoe UI"/>
    </font>
    <font>
      <sz val="12"/>
      <color theme="1"/>
      <name val="Calibri"/>
      <family val="2"/>
      <scheme val="minor"/>
    </font>
    <font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theme="1"/>
      <name val="Segoe UI Histor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4" fillId="0" borderId="0" xfId="0" quotePrefix="1" applyFont="1"/>
    <xf numFmtId="0" fontId="1" fillId="0" borderId="0" xfId="0" quotePrefix="1" applyFont="1"/>
    <xf numFmtId="0" fontId="5" fillId="2" borderId="3" xfId="0" quotePrefix="1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0" borderId="0" xfId="0" quotePrefix="1" applyFont="1" applyAlignment="1">
      <alignment horizontal="center" vertical="center"/>
    </xf>
    <xf numFmtId="0" fontId="4" fillId="0" borderId="1" xfId="0" applyFont="1" applyBorder="1"/>
    <xf numFmtId="0" fontId="1" fillId="0" borderId="0" xfId="0" quotePrefix="1" applyFont="1" applyAlignment="1">
      <alignment vertical="center" wrapText="1"/>
    </xf>
    <xf numFmtId="0" fontId="1" fillId="0" borderId="0" xfId="0" applyFont="1"/>
    <xf numFmtId="0" fontId="4" fillId="0" borderId="0" xfId="0" quotePrefix="1" applyFont="1" applyAlignment="1">
      <alignment vertical="top"/>
    </xf>
    <xf numFmtId="44" fontId="4" fillId="0" borderId="0" xfId="0" applyNumberFormat="1" applyFont="1"/>
    <xf numFmtId="44" fontId="4" fillId="0" borderId="0" xfId="0" applyNumberFormat="1" applyFont="1" applyAlignment="1">
      <alignment vertical="center"/>
    </xf>
    <xf numFmtId="0" fontId="6" fillId="3" borderId="1" xfId="0" applyFont="1" applyFill="1" applyBorder="1"/>
    <xf numFmtId="0" fontId="1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wrapText="1"/>
    </xf>
    <xf numFmtId="0" fontId="1" fillId="0" borderId="0" xfId="0" applyFont="1" applyAlignment="1">
      <alignment horizontal="right" vertical="center"/>
    </xf>
    <xf numFmtId="44" fontId="4" fillId="0" borderId="0" xfId="0" applyNumberFormat="1" applyFont="1" applyAlignment="1">
      <alignment horizontal="left"/>
    </xf>
    <xf numFmtId="164" fontId="6" fillId="3" borderId="4" xfId="0" applyNumberFormat="1" applyFont="1" applyFill="1" applyBorder="1"/>
    <xf numFmtId="0" fontId="5" fillId="2" borderId="4" xfId="0" quotePrefix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7" fillId="3" borderId="4" xfId="0" quotePrefix="1" applyFont="1" applyFill="1" applyBorder="1" applyAlignment="1">
      <alignment horizontal="center"/>
    </xf>
    <xf numFmtId="0" fontId="7" fillId="3" borderId="5" xfId="0" quotePrefix="1" applyFont="1" applyFill="1" applyBorder="1" applyAlignment="1">
      <alignment horizontal="center"/>
    </xf>
    <xf numFmtId="0" fontId="7" fillId="3" borderId="2" xfId="0" quotePrefix="1" applyFont="1" applyFill="1" applyBorder="1" applyAlignment="1">
      <alignment horizontal="center"/>
    </xf>
    <xf numFmtId="0" fontId="4" fillId="0" borderId="0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133" quotePrefix="1" applyFont="1" applyAlignment="1"/>
    <xf numFmtId="44" fontId="9" fillId="0" borderId="0" xfId="132" applyFont="1" applyAlignment="1">
      <alignment vertical="center"/>
    </xf>
    <xf numFmtId="44" fontId="9" fillId="0" borderId="0" xfId="0" applyNumberFormat="1" applyFont="1" applyAlignment="1">
      <alignment vertical="center"/>
    </xf>
    <xf numFmtId="44" fontId="9" fillId="0" borderId="0" xfId="0" applyNumberFormat="1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1" fillId="0" borderId="0" xfId="0" quotePrefix="1" applyFont="1" applyAlignment="1">
      <alignment horizontal="center" vertical="center"/>
    </xf>
    <xf numFmtId="44" fontId="11" fillId="0" borderId="0" xfId="0" applyNumberFormat="1" applyFont="1" applyAlignment="1">
      <alignment vertical="center"/>
    </xf>
    <xf numFmtId="44" fontId="11" fillId="0" borderId="0" xfId="0" applyNumberFormat="1" applyFont="1"/>
    <xf numFmtId="0" fontId="11" fillId="0" borderId="0" xfId="0" applyFont="1"/>
    <xf numFmtId="0" fontId="11" fillId="0" borderId="0" xfId="0" quotePrefix="1" applyFont="1"/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</cellXfs>
  <cellStyles count="134">
    <cellStyle name="Currency" xfId="132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J1" zoomScale="165" zoomScaleNormal="125" zoomScalePageLayoutView="125" workbookViewId="0">
      <selection activeCell="N2" sqref="N2"/>
    </sheetView>
  </sheetViews>
  <sheetFormatPr baseColWidth="10" defaultRowHeight="11" x14ac:dyDescent="0.15"/>
  <cols>
    <col min="1" max="1" width="5.33203125" style="1" bestFit="1" customWidth="1"/>
    <col min="2" max="2" width="15.83203125" style="1" bestFit="1" customWidth="1"/>
    <col min="3" max="3" width="15.83203125" style="1" customWidth="1"/>
    <col min="4" max="4" width="25.6640625" style="1" bestFit="1" customWidth="1"/>
    <col min="5" max="5" width="10.6640625" style="1" bestFit="1" customWidth="1"/>
    <col min="6" max="6" width="6.5" style="1" bestFit="1" customWidth="1"/>
    <col min="7" max="7" width="18.6640625" style="1" bestFit="1" customWidth="1"/>
    <col min="8" max="8" width="18.1640625" style="1" bestFit="1" customWidth="1"/>
    <col min="9" max="9" width="17.1640625" style="1" bestFit="1" customWidth="1"/>
    <col min="10" max="10" width="14.6640625" style="1" bestFit="1" customWidth="1"/>
    <col min="11" max="11" width="14.6640625" style="1" customWidth="1"/>
    <col min="12" max="12" width="9" style="1" bestFit="1" customWidth="1"/>
    <col min="13" max="13" width="6.1640625" style="1" bestFit="1" customWidth="1"/>
    <col min="14" max="16384" width="10.83203125" style="1"/>
  </cols>
  <sheetData>
    <row r="1" spans="1:20" ht="14" x14ac:dyDescent="0.2">
      <c r="A1" s="22" t="s">
        <v>32</v>
      </c>
      <c r="B1" s="23"/>
      <c r="C1" s="23"/>
      <c r="D1" s="24"/>
      <c r="E1" s="7"/>
      <c r="F1" s="7"/>
      <c r="G1" s="7"/>
      <c r="H1" s="7"/>
      <c r="I1" s="7"/>
      <c r="J1" s="7"/>
      <c r="K1" s="25"/>
      <c r="M1" s="13" t="s">
        <v>13</v>
      </c>
      <c r="N1" s="18">
        <f>SUM(N3:N20)</f>
        <v>3.9252000000000002</v>
      </c>
      <c r="O1" s="20" t="s">
        <v>50</v>
      </c>
    </row>
    <row r="2" spans="1:20" x14ac:dyDescent="0.15">
      <c r="A2" s="4" t="s">
        <v>0</v>
      </c>
      <c r="B2" s="4" t="s">
        <v>1</v>
      </c>
      <c r="C2" s="4" t="s">
        <v>31</v>
      </c>
      <c r="D2" s="5" t="s">
        <v>2</v>
      </c>
      <c r="E2" s="5" t="s">
        <v>9</v>
      </c>
      <c r="F2" s="5" t="s">
        <v>10</v>
      </c>
      <c r="G2" s="5" t="s">
        <v>3</v>
      </c>
      <c r="H2" s="5" t="s">
        <v>4</v>
      </c>
      <c r="I2" s="5" t="s">
        <v>6</v>
      </c>
      <c r="J2" s="5" t="s">
        <v>7</v>
      </c>
      <c r="K2" s="5"/>
      <c r="L2" s="5" t="s">
        <v>12</v>
      </c>
      <c r="M2" s="5" t="s">
        <v>5</v>
      </c>
      <c r="N2" s="19" t="s">
        <v>11</v>
      </c>
      <c r="O2" s="21">
        <v>25</v>
      </c>
    </row>
    <row r="3" spans="1:20" ht="12" x14ac:dyDescent="0.15">
      <c r="A3" s="14" t="e">
        <f>#REF!+1</f>
        <v>#REF!</v>
      </c>
      <c r="B3" s="1" t="s">
        <v>17</v>
      </c>
      <c r="C3" s="2" t="s">
        <v>49</v>
      </c>
      <c r="D3" s="2" t="s">
        <v>18</v>
      </c>
      <c r="E3" s="1" t="s">
        <v>19</v>
      </c>
      <c r="F3" s="15" t="s">
        <v>20</v>
      </c>
      <c r="G3" s="10" t="s">
        <v>21</v>
      </c>
      <c r="H3" s="2" t="s">
        <v>22</v>
      </c>
      <c r="I3" s="1" t="s">
        <v>8</v>
      </c>
      <c r="J3" s="2" t="s">
        <v>23</v>
      </c>
      <c r="K3" s="2"/>
      <c r="L3" s="11">
        <v>0.43</v>
      </c>
      <c r="M3" s="1">
        <v>2</v>
      </c>
      <c r="N3" s="17">
        <f>L3*M3</f>
        <v>0.86</v>
      </c>
      <c r="O3" s="21">
        <v>100</v>
      </c>
    </row>
    <row r="4" spans="1:20" x14ac:dyDescent="0.15">
      <c r="A4" s="14" t="e">
        <f t="shared" ref="A4:A7" si="0">A3+1</f>
        <v>#REF!</v>
      </c>
      <c r="B4" s="1" t="s">
        <v>25</v>
      </c>
      <c r="C4" s="2" t="s">
        <v>45</v>
      </c>
      <c r="D4" s="1" t="s">
        <v>26</v>
      </c>
      <c r="E4" s="1" t="s">
        <v>19</v>
      </c>
      <c r="F4" s="2" t="s">
        <v>27</v>
      </c>
      <c r="G4" s="1" t="s">
        <v>28</v>
      </c>
      <c r="H4" s="1" t="s">
        <v>29</v>
      </c>
      <c r="I4" s="1" t="s">
        <v>8</v>
      </c>
      <c r="J4" s="1" t="s">
        <v>30</v>
      </c>
      <c r="L4" s="11">
        <v>0.13</v>
      </c>
      <c r="M4" s="1">
        <v>5</v>
      </c>
      <c r="N4" s="17">
        <f t="shared" ref="N4:N5" si="1">L4*M4</f>
        <v>0.65</v>
      </c>
      <c r="O4" s="21">
        <v>500</v>
      </c>
    </row>
    <row r="5" spans="1:20" x14ac:dyDescent="0.15">
      <c r="A5" s="14" t="e">
        <f t="shared" si="0"/>
        <v>#REF!</v>
      </c>
      <c r="B5" s="1" t="s">
        <v>44</v>
      </c>
      <c r="C5" s="2" t="s">
        <v>46</v>
      </c>
      <c r="D5" s="2" t="s">
        <v>37</v>
      </c>
      <c r="E5" s="2" t="s">
        <v>19</v>
      </c>
      <c r="F5" s="2" t="s">
        <v>27</v>
      </c>
      <c r="G5" s="2" t="s">
        <v>36</v>
      </c>
      <c r="H5" s="2" t="s">
        <v>38</v>
      </c>
      <c r="I5" s="1" t="s">
        <v>8</v>
      </c>
      <c r="J5" s="2" t="s">
        <v>39</v>
      </c>
      <c r="K5" s="2"/>
      <c r="L5" s="11">
        <v>0.1</v>
      </c>
      <c r="M5" s="1">
        <v>1</v>
      </c>
      <c r="N5" s="11">
        <f t="shared" si="1"/>
        <v>0.1</v>
      </c>
      <c r="O5" s="21">
        <v>100</v>
      </c>
    </row>
    <row r="6" spans="1:20" x14ac:dyDescent="0.15">
      <c r="A6" s="14" t="e">
        <f t="shared" si="0"/>
        <v>#REF!</v>
      </c>
      <c r="B6" s="1" t="s">
        <v>16</v>
      </c>
      <c r="C6" s="2" t="s">
        <v>48</v>
      </c>
      <c r="D6" s="3" t="s">
        <v>33</v>
      </c>
      <c r="E6" s="9" t="s">
        <v>19</v>
      </c>
      <c r="F6" s="3" t="s">
        <v>27</v>
      </c>
      <c r="G6" s="9" t="s">
        <v>24</v>
      </c>
      <c r="H6" s="3" t="s">
        <v>34</v>
      </c>
      <c r="I6" s="9" t="s">
        <v>8</v>
      </c>
      <c r="J6" s="2" t="s">
        <v>35</v>
      </c>
      <c r="K6" s="2"/>
      <c r="L6" s="11">
        <v>0.1</v>
      </c>
      <c r="M6" s="1">
        <v>4</v>
      </c>
      <c r="N6" s="17">
        <f>L6*M6</f>
        <v>0.4</v>
      </c>
      <c r="O6" s="21">
        <v>250</v>
      </c>
    </row>
    <row r="7" spans="1:20" x14ac:dyDescent="0.15">
      <c r="A7" s="14" t="e">
        <f t="shared" si="0"/>
        <v>#REF!</v>
      </c>
      <c r="B7" s="1" t="s">
        <v>43</v>
      </c>
      <c r="C7" s="2" t="s">
        <v>47</v>
      </c>
      <c r="D7" s="2" t="s">
        <v>40</v>
      </c>
      <c r="E7" s="9" t="s">
        <v>19</v>
      </c>
      <c r="F7" s="3" t="s">
        <v>27</v>
      </c>
      <c r="G7" s="10" t="s">
        <v>36</v>
      </c>
      <c r="H7" s="2" t="s">
        <v>41</v>
      </c>
      <c r="I7" s="9" t="s">
        <v>8</v>
      </c>
      <c r="J7" s="3" t="s">
        <v>42</v>
      </c>
      <c r="K7" s="3"/>
      <c r="L7" s="12">
        <v>0.1</v>
      </c>
      <c r="M7" s="16">
        <v>1</v>
      </c>
      <c r="N7" s="17">
        <f>L7*M7</f>
        <v>0.1</v>
      </c>
      <c r="O7" s="21">
        <v>100</v>
      </c>
    </row>
    <row r="8" spans="1:20" s="34" customFormat="1" ht="13" customHeight="1" x14ac:dyDescent="0.15">
      <c r="A8" s="26" t="e">
        <f>#REF!+1</f>
        <v>#REF!</v>
      </c>
      <c r="B8" s="27" t="s">
        <v>51</v>
      </c>
      <c r="C8" s="28" t="s">
        <v>52</v>
      </c>
      <c r="D8" s="28" t="s">
        <v>53</v>
      </c>
      <c r="E8" s="29" t="s">
        <v>14</v>
      </c>
      <c r="F8" s="28" t="s">
        <v>54</v>
      </c>
      <c r="G8" s="28" t="s">
        <v>55</v>
      </c>
      <c r="H8" s="28" t="s">
        <v>56</v>
      </c>
      <c r="I8" s="28" t="s">
        <v>57</v>
      </c>
      <c r="J8" s="28" t="s">
        <v>15</v>
      </c>
      <c r="K8" s="30" t="s">
        <v>58</v>
      </c>
      <c r="L8" s="31">
        <f>11.99/600</f>
        <v>1.9983333333333332E-2</v>
      </c>
      <c r="M8" s="26">
        <v>12</v>
      </c>
      <c r="N8" s="32">
        <f t="shared" ref="N8" si="2">L8*M8</f>
        <v>0.23979999999999999</v>
      </c>
      <c r="O8" s="33">
        <f>11.38/600</f>
        <v>1.8966666666666666E-2</v>
      </c>
      <c r="P8" s="32">
        <f t="shared" ref="P8:R8" si="3">$M8*O8</f>
        <v>0.2276</v>
      </c>
      <c r="Q8" s="33">
        <f>9.58/600</f>
        <v>1.5966666666666667E-2</v>
      </c>
      <c r="R8" s="32">
        <f t="shared" si="3"/>
        <v>0.19159999999999999</v>
      </c>
      <c r="S8" s="33">
        <f>9.58/600</f>
        <v>1.5966666666666667E-2</v>
      </c>
      <c r="T8" s="32">
        <f t="shared" ref="T8" si="4">$M8*S8</f>
        <v>0.19159999999999999</v>
      </c>
    </row>
    <row r="9" spans="1:20" x14ac:dyDescent="0.15">
      <c r="A9" s="6"/>
      <c r="B9" s="2"/>
      <c r="C9" s="2"/>
      <c r="D9" s="2"/>
      <c r="E9" s="2"/>
      <c r="F9" s="2"/>
      <c r="G9" s="2"/>
      <c r="H9" s="3"/>
      <c r="I9" s="9"/>
      <c r="J9" s="2"/>
      <c r="K9" s="2"/>
      <c r="L9" s="11"/>
      <c r="N9" s="11"/>
    </row>
    <row r="10" spans="1:20" s="41" customFormat="1" ht="13" x14ac:dyDescent="0.2">
      <c r="A10" s="35">
        <f>A9+1</f>
        <v>1</v>
      </c>
      <c r="B10" s="36" t="s">
        <v>59</v>
      </c>
      <c r="C10" s="37" t="s">
        <v>60</v>
      </c>
      <c r="D10" s="37" t="s">
        <v>61</v>
      </c>
      <c r="E10" s="38" t="s">
        <v>14</v>
      </c>
      <c r="F10" s="37" t="s">
        <v>54</v>
      </c>
      <c r="G10" s="37" t="s">
        <v>62</v>
      </c>
      <c r="H10" s="37" t="s">
        <v>63</v>
      </c>
      <c r="I10" s="37" t="s">
        <v>64</v>
      </c>
      <c r="J10" s="37" t="s">
        <v>65</v>
      </c>
      <c r="K10" s="37" t="s">
        <v>66</v>
      </c>
      <c r="L10" s="39">
        <v>0.74</v>
      </c>
      <c r="M10" s="35">
        <v>1</v>
      </c>
      <c r="N10" s="39">
        <f t="shared" ref="N10:N12" si="5">L10*M10</f>
        <v>0.74</v>
      </c>
      <c r="O10" s="39">
        <v>0.56499999999999995</v>
      </c>
      <c r="P10" s="39">
        <f t="shared" ref="P10:R12" si="6">$M10*O10</f>
        <v>0.56499999999999995</v>
      </c>
      <c r="Q10" s="40">
        <v>0.56499999999999995</v>
      </c>
      <c r="R10" s="39">
        <f t="shared" si="6"/>
        <v>0.56499999999999995</v>
      </c>
      <c r="S10" s="40">
        <v>0.46500000000000002</v>
      </c>
      <c r="T10" s="39">
        <f t="shared" ref="T10:T12" si="7">$M10*S10</f>
        <v>0.46500000000000002</v>
      </c>
    </row>
    <row r="11" spans="1:20" s="41" customFormat="1" ht="13" x14ac:dyDescent="0.2">
      <c r="A11" s="35">
        <f t="shared" ref="A11:A12" si="8">A10+1</f>
        <v>2</v>
      </c>
      <c r="B11" s="41" t="s">
        <v>67</v>
      </c>
      <c r="D11" s="42" t="s">
        <v>68</v>
      </c>
      <c r="E11" s="43" t="s">
        <v>69</v>
      </c>
      <c r="F11" s="42" t="s">
        <v>69</v>
      </c>
      <c r="G11" s="42" t="s">
        <v>70</v>
      </c>
      <c r="H11" s="42" t="s">
        <v>71</v>
      </c>
      <c r="I11" s="41" t="s">
        <v>72</v>
      </c>
      <c r="J11" s="42" t="s">
        <v>73</v>
      </c>
      <c r="K11" s="42" t="s">
        <v>74</v>
      </c>
      <c r="L11" s="40">
        <f>59.55/100</f>
        <v>0.59549999999999992</v>
      </c>
      <c r="M11" s="44">
        <v>1</v>
      </c>
      <c r="N11" s="39">
        <f t="shared" si="5"/>
        <v>0.59549999999999992</v>
      </c>
      <c r="O11" s="40">
        <f>59.55/100</f>
        <v>0.59549999999999992</v>
      </c>
      <c r="P11" s="39">
        <f t="shared" si="6"/>
        <v>0.59549999999999992</v>
      </c>
      <c r="Q11" s="40">
        <f>59.55/100</f>
        <v>0.59549999999999992</v>
      </c>
      <c r="R11" s="39">
        <f t="shared" si="6"/>
        <v>0.59549999999999992</v>
      </c>
      <c r="S11" s="40">
        <f>59.55/100</f>
        <v>0.59549999999999992</v>
      </c>
      <c r="T11" s="39">
        <f t="shared" si="7"/>
        <v>0.59549999999999992</v>
      </c>
    </row>
    <row r="12" spans="1:20" s="41" customFormat="1" ht="13" x14ac:dyDescent="0.2">
      <c r="A12" s="35">
        <f t="shared" si="8"/>
        <v>3</v>
      </c>
      <c r="B12" s="36" t="s">
        <v>75</v>
      </c>
      <c r="C12" s="37" t="s">
        <v>76</v>
      </c>
      <c r="D12" s="37" t="s">
        <v>77</v>
      </c>
      <c r="E12" s="38" t="s">
        <v>14</v>
      </c>
      <c r="F12" s="37" t="s">
        <v>78</v>
      </c>
      <c r="G12" s="37" t="s">
        <v>79</v>
      </c>
      <c r="H12" s="37" t="s">
        <v>80</v>
      </c>
      <c r="I12" s="37" t="s">
        <v>81</v>
      </c>
      <c r="J12" s="37" t="s">
        <v>82</v>
      </c>
      <c r="K12" s="37" t="s">
        <v>83</v>
      </c>
      <c r="L12" s="39">
        <f>23.99/100</f>
        <v>0.23989999999999997</v>
      </c>
      <c r="M12" s="35">
        <v>1</v>
      </c>
      <c r="N12" s="39">
        <f t="shared" si="5"/>
        <v>0.23989999999999997</v>
      </c>
      <c r="O12" s="39">
        <f>23.99/100</f>
        <v>0.23989999999999997</v>
      </c>
      <c r="P12" s="39">
        <f t="shared" si="6"/>
        <v>0.23989999999999997</v>
      </c>
      <c r="Q12" s="39">
        <f>23.99/100</f>
        <v>0.23989999999999997</v>
      </c>
      <c r="R12" s="39">
        <f t="shared" si="6"/>
        <v>0.23989999999999997</v>
      </c>
      <c r="S12" s="39">
        <f>23.99/100</f>
        <v>0.23989999999999997</v>
      </c>
      <c r="T12" s="39">
        <f t="shared" si="7"/>
        <v>0.23989999999999997</v>
      </c>
    </row>
    <row r="13" spans="1:20" x14ac:dyDescent="0.15">
      <c r="A13" s="6"/>
      <c r="D13" s="2"/>
      <c r="E13" s="2"/>
      <c r="F13" s="2"/>
      <c r="G13" s="2"/>
      <c r="H13" s="2"/>
      <c r="I13" s="9"/>
      <c r="J13" s="2"/>
      <c r="K13" s="2"/>
      <c r="L13" s="11"/>
      <c r="N13" s="11"/>
    </row>
    <row r="14" spans="1:20" x14ac:dyDescent="0.15">
      <c r="A14" s="6"/>
      <c r="D14" s="2"/>
      <c r="E14" s="2"/>
      <c r="F14" s="2"/>
      <c r="G14" s="2"/>
      <c r="H14" s="2"/>
      <c r="I14" s="9"/>
      <c r="J14" s="2"/>
      <c r="K14" s="2"/>
      <c r="L14" s="11"/>
      <c r="N14" s="11"/>
    </row>
    <row r="15" spans="1:20" x14ac:dyDescent="0.15">
      <c r="A15" s="6"/>
      <c r="D15" s="2"/>
      <c r="E15" s="2"/>
      <c r="F15" s="2"/>
      <c r="G15" s="2"/>
      <c r="H15" s="2"/>
      <c r="I15" s="9"/>
      <c r="J15" s="2"/>
      <c r="K15" s="2"/>
      <c r="L15" s="11"/>
      <c r="N15" s="11"/>
    </row>
    <row r="16" spans="1:20" x14ac:dyDescent="0.15">
      <c r="A16" s="6"/>
      <c r="D16" s="2"/>
      <c r="E16" s="2"/>
      <c r="F16" s="2"/>
      <c r="G16" s="2"/>
      <c r="H16" s="3"/>
      <c r="I16" s="2"/>
      <c r="J16" s="2"/>
      <c r="K16" s="2"/>
      <c r="L16" s="11"/>
      <c r="N16" s="11"/>
    </row>
    <row r="17" spans="1:14" x14ac:dyDescent="0.15">
      <c r="A17" s="6"/>
      <c r="D17" s="2"/>
      <c r="E17" s="2"/>
      <c r="F17" s="2"/>
      <c r="G17" s="2"/>
      <c r="H17" s="2"/>
      <c r="I17" s="2"/>
      <c r="J17" s="2"/>
      <c r="K17" s="2"/>
      <c r="L17" s="11"/>
      <c r="N17" s="11"/>
    </row>
    <row r="18" spans="1:14" x14ac:dyDescent="0.15">
      <c r="A18" s="6"/>
      <c r="D18" s="2"/>
      <c r="G18" s="8"/>
      <c r="H18" s="2"/>
      <c r="I18" s="2"/>
      <c r="J18" s="2"/>
      <c r="K18" s="2"/>
      <c r="L18" s="11"/>
      <c r="N18" s="11"/>
    </row>
    <row r="19" spans="1:14" x14ac:dyDescent="0.15">
      <c r="A19" s="6"/>
      <c r="B19" s="2"/>
      <c r="C19" s="2"/>
      <c r="G19" s="8"/>
      <c r="H19" s="2"/>
      <c r="I19" s="9"/>
      <c r="J19" s="2"/>
      <c r="K19" s="2"/>
      <c r="L19" s="11"/>
      <c r="N19" s="11"/>
    </row>
    <row r="20" spans="1:14" x14ac:dyDescent="0.15">
      <c r="L20" s="11"/>
      <c r="N20" s="11"/>
    </row>
    <row r="21" spans="1:14" x14ac:dyDescent="0.15">
      <c r="L21" s="11"/>
      <c r="N21" s="11"/>
    </row>
    <row r="22" spans="1:14" x14ac:dyDescent="0.15">
      <c r="L22" s="11"/>
      <c r="N22" s="11"/>
    </row>
    <row r="23" spans="1:14" x14ac:dyDescent="0.15">
      <c r="L23" s="11"/>
      <c r="N23" s="11"/>
    </row>
    <row r="24" spans="1:14" x14ac:dyDescent="0.15">
      <c r="L24" s="11"/>
      <c r="N24" s="11"/>
    </row>
    <row r="25" spans="1:14" x14ac:dyDescent="0.15">
      <c r="L25" s="11"/>
      <c r="N25" s="11"/>
    </row>
  </sheetData>
  <mergeCells count="1">
    <mergeCell ref="A1:D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Hoilett</dc:creator>
  <cp:lastModifiedBy>Hoilett, Orlando (hoiletos)</cp:lastModifiedBy>
  <dcterms:created xsi:type="dcterms:W3CDTF">2015-10-06T19:06:42Z</dcterms:created>
  <dcterms:modified xsi:type="dcterms:W3CDTF">2025-03-23T06:26:12Z</dcterms:modified>
</cp:coreProperties>
</file>